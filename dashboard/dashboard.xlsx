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rabajo\Cursos\GitHub\Proyecto 2\Análisis de Ventas\dashboard\"/>
    </mc:Choice>
  </mc:AlternateContent>
  <xr:revisionPtr revIDLastSave="0" documentId="13_ncr:1_{A08F992C-E678-463D-BFB5-FB8503B62421}" xr6:coauthVersionLast="47" xr6:coauthVersionMax="47" xr10:uidLastSave="{00000000-0000-0000-0000-000000000000}"/>
  <bookViews>
    <workbookView xWindow="38280" yWindow="5115" windowWidth="29040" windowHeight="15720" xr2:uid="{00000000-000D-0000-FFFF-FFFF00000000}"/>
  </bookViews>
  <sheets>
    <sheet name="Dashboard" sheetId="5" r:id="rId1"/>
    <sheet name="categorias" sheetId="1" r:id="rId2"/>
    <sheet name="entregas" sheetId="2" r:id="rId3"/>
    <sheet name="estacionalidad" sheetId="3" r:id="rId4"/>
    <sheet name="estado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3" l="1"/>
  <c r="B29" i="4"/>
</calcChain>
</file>

<file path=xl/sharedStrings.xml><?xml version="1.0" encoding="utf-8"?>
<sst xmlns="http://schemas.openxmlformats.org/spreadsheetml/2006/main" count="135" uniqueCount="134">
  <si>
    <t>cantidad_vendida</t>
  </si>
  <si>
    <t>categoria</t>
  </si>
  <si>
    <t>bed_bath_table</t>
  </si>
  <si>
    <t>health_beauty</t>
  </si>
  <si>
    <t>sports_leisure</t>
  </si>
  <si>
    <t>furniture_decor</t>
  </si>
  <si>
    <t>computers_accessories</t>
  </si>
  <si>
    <t>housewares</t>
  </si>
  <si>
    <t>watches_gifts</t>
  </si>
  <si>
    <t>telephony</t>
  </si>
  <si>
    <t>garden_tools</t>
  </si>
  <si>
    <t>auto</t>
  </si>
  <si>
    <t>toys</t>
  </si>
  <si>
    <t>cool_stuff</t>
  </si>
  <si>
    <t>perfumery</t>
  </si>
  <si>
    <t>baby</t>
  </si>
  <si>
    <t>electronics</t>
  </si>
  <si>
    <t>stationery</t>
  </si>
  <si>
    <t>fashion_bags_accessories</t>
  </si>
  <si>
    <t>pet_shop</t>
  </si>
  <si>
    <t>office_furniture</t>
  </si>
  <si>
    <t>consoles_games</t>
  </si>
  <si>
    <t>luggage_accessories</t>
  </si>
  <si>
    <t>construction_tools_construction</t>
  </si>
  <si>
    <t>home_appliances</t>
  </si>
  <si>
    <t>musical_instruments</t>
  </si>
  <si>
    <t>small_appliances</t>
  </si>
  <si>
    <t>home_construction</t>
  </si>
  <si>
    <t>books_general_interest</t>
  </si>
  <si>
    <t>food</t>
  </si>
  <si>
    <t>furniture_living_room</t>
  </si>
  <si>
    <t>home_confort</t>
  </si>
  <si>
    <t>drinks</t>
  </si>
  <si>
    <t>audio</t>
  </si>
  <si>
    <t>market_place</t>
  </si>
  <si>
    <t>construction_tools_lights</t>
  </si>
  <si>
    <t>air_conditioning</t>
  </si>
  <si>
    <t>kitchen_dining_laundry_garden_furniture</t>
  </si>
  <si>
    <t>food_drink</t>
  </si>
  <si>
    <t>industry_commerce_and_business</t>
  </si>
  <si>
    <t>books_technical</t>
  </si>
  <si>
    <t>fixed_telephony</t>
  </si>
  <si>
    <t>fashion_shoes</t>
  </si>
  <si>
    <t>home_appliances_2</t>
  </si>
  <si>
    <t>costruction_tools_garden</t>
  </si>
  <si>
    <t>agro_industry_and_commerce</t>
  </si>
  <si>
    <t>art</t>
  </si>
  <si>
    <t>computers</t>
  </si>
  <si>
    <t>signaling_and_security</t>
  </si>
  <si>
    <t>construction_tools_safety</t>
  </si>
  <si>
    <t>christmas_supplies</t>
  </si>
  <si>
    <t>fashion_male_clothing</t>
  </si>
  <si>
    <t>fashion_underwear_beach</t>
  </si>
  <si>
    <t>furniture_bedroom</t>
  </si>
  <si>
    <t>costruction_tools_tools</t>
  </si>
  <si>
    <t>tablets_printing_image</t>
  </si>
  <si>
    <t>small_appliances_home_oven_and_coffee</t>
  </si>
  <si>
    <t>cine_photo</t>
  </si>
  <si>
    <t>dvds_blu_ray</t>
  </si>
  <si>
    <t>books_imported</t>
  </si>
  <si>
    <t>fashio_female_clothing</t>
  </si>
  <si>
    <t>party_supplies</t>
  </si>
  <si>
    <t>diapers_and_hygiene</t>
  </si>
  <si>
    <t>music</t>
  </si>
  <si>
    <t>furniture_mattress_and_upholstery</t>
  </si>
  <si>
    <t>flowers</t>
  </si>
  <si>
    <t>home_comfort_2</t>
  </si>
  <si>
    <t>fashion_sport</t>
  </si>
  <si>
    <t>arts_and_craftmanship</t>
  </si>
  <si>
    <t>la_cuisine</t>
  </si>
  <si>
    <t>cds_dvds_musicals</t>
  </si>
  <si>
    <t>fashion_childrens_clothes</t>
  </si>
  <si>
    <t>security_and_services</t>
  </si>
  <si>
    <t>metrica</t>
  </si>
  <si>
    <t>dias</t>
  </si>
  <si>
    <t>Promedio</t>
  </si>
  <si>
    <t>Mediana</t>
  </si>
  <si>
    <t>Percentil 25</t>
  </si>
  <si>
    <t>Percentil 75</t>
  </si>
  <si>
    <t>Máximo</t>
  </si>
  <si>
    <t>anio_mes</t>
  </si>
  <si>
    <t>cantidad_ordenes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</si>
  <si>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</si>
  <si>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</si>
  <si>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</si>
  <si>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</si>
  <si>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</si>
  <si>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</si>
  <si>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</si>
  <si>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</si>
  <si>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</si>
  <si>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</si>
  <si>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</si>
  <si>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</si>
  <si>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</si>
  <si>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</si>
  <si>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</si>
  <si>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</si>
  <si>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</si>
  <si>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</si>
  <si>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</si>
  <si>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</si>
  <si>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estado</t>
  </si>
  <si>
    <t>ingresos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</si>
  <si>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</si>
  <si>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</si>
  <si>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</si>
  <si>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</si>
  <si>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</si>
  <si>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</si>
  <si>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</si>
  <si>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</si>
  <si>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</si>
  <si>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</si>
  <si>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</si>
  <si>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</si>
  <si>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</si>
  <si>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</si>
  <si>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</si>
  <si>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</si>
  <si>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</si>
  <si>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</si>
  <si>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</si>
  <si>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</si>
  <si>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</si>
  <si>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</si>
  <si>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</si>
  <si>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</si>
  <si>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</si>
  <si>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</si>
  <si>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</si>
  <si>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Olist E-Commerce - Dashboard de ventas</t>
  </si>
  <si>
    <t>Brasil | 2017 - 2018 | Fuente: Kaggle — Olist Brazilian E-Commerce Dataset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</si>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</sst>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-[$BRL]\ * #,##0.00_-;\-[$BRL]\ * #,##0.00_-;_-[$BRL]\ * &quot;-&quot;??_-;_-@_-"/>
    <numFmt numFmtId="167" formatCode="_-[$BRL]\ * #,##0_-;\-[$BRL]\ * #,##0_-;_-[$BRL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1F1F1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0" fillId="3" borderId="0" xfId="0" applyFill="1" applyBorder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2" applyNumberFormat="1" applyFont="1" applyBorder="1" applyAlignment="1">
      <alignment horizontal="center" vertical="top"/>
    </xf>
    <xf numFmtId="166" fontId="0" fillId="0" borderId="0" xfId="2" applyNumberFormat="1" applyFont="1"/>
    <xf numFmtId="165" fontId="0" fillId="0" borderId="0" xfId="1" applyNumberFormat="1" applyFont="1"/>
    <xf numFmtId="167" fontId="0" fillId="0" borderId="0" xfId="2" applyNumberFormat="1" applyFont="1"/>
    <xf numFmtId="0" fontId="4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indent="1"/>
    </xf>
  </cellXfs>
  <cellStyles count="3">
    <cellStyle name="Millares" xfId="1" builtinId="3"/>
    <cellStyle name="Moneda" xfId="2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BRL]\ * #,##0_-;\-[$BRL]\ * #,##0_-;_-[$BRL]\ * &quot;-&quot;??_-;_-@_-"/>
    </dxf>
    <dxf>
      <numFmt numFmtId="166" formatCode="_-[$BRL]\ * #,##0.00_-;\-[$BRL]\ * #,##0.00_-;_-[$BRL]\ 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85FA5"/>
      <color rgb="FFC2C0B6"/>
      <color rgb="FF262624"/>
      <color rgb="FF993C1D"/>
      <color rgb="FF854F0B"/>
      <color rgb="FF3B6D11"/>
      <color rgb="FF378ADD"/>
      <color rgb="FF6AC458"/>
      <color rgb="FFC4C458"/>
      <color rgb="FF97C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419" sz="1800" b="1">
                <a:solidFill>
                  <a:schemeClr val="bg1"/>
                </a:solidFill>
              </a:rPr>
              <a:t>Top 10 categorías por unidades vendidas</a:t>
            </a:r>
          </a:p>
        </c:rich>
      </c:tx>
      <c:layout>
        <c:manualLayout>
          <c:xMode val="edge"/>
          <c:yMode val="edge"/>
          <c:x val="1.3443241469816267E-2"/>
          <c:y val="1.3640238704177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'categorias'!$A$1</c:f>
              <c:strCache>
                <c:ptCount val="1"/>
                <c:pt idx="0">
                  <c:v>cantidad_vendida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85F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6C9-4B7C-BA4C-7CBF2E2D6860}"/>
              </c:ext>
            </c:extLst>
          </c:dPt>
          <c:dPt>
            <c:idx val="1"/>
            <c:invertIfNegative val="0"/>
            <c:bubble3D val="0"/>
            <c:spPr>
              <a:solidFill>
                <a:srgbClr val="185F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6C9-4B7C-BA4C-7CBF2E2D6860}"/>
              </c:ext>
            </c:extLst>
          </c:dPt>
          <c:dPt>
            <c:idx val="2"/>
            <c:invertIfNegative val="0"/>
            <c:bubble3D val="0"/>
            <c:spPr>
              <a:solidFill>
                <a:srgbClr val="185F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6C9-4B7C-BA4C-7CBF2E2D6860}"/>
              </c:ext>
            </c:extLst>
          </c:dPt>
          <c:dPt>
            <c:idx val="3"/>
            <c:invertIfNegative val="0"/>
            <c:bubble3D val="0"/>
            <c:spPr>
              <a:solidFill>
                <a:srgbClr val="185F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6C9-4B7C-BA4C-7CBF2E2D6860}"/>
              </c:ext>
            </c:extLst>
          </c:dPt>
          <c:dPt>
            <c:idx val="4"/>
            <c:invertIfNegative val="0"/>
            <c:bubble3D val="0"/>
            <c:spPr>
              <a:solidFill>
                <a:srgbClr val="185F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C9-4B7C-BA4C-7CBF2E2D6860}"/>
              </c:ext>
            </c:extLst>
          </c:dPt>
          <c:dPt>
            <c:idx val="5"/>
            <c:invertIfNegative val="0"/>
            <c:bubble3D val="0"/>
            <c:spPr>
              <a:solidFill>
                <a:srgbClr val="378A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6C9-4B7C-BA4C-7CBF2E2D6860}"/>
              </c:ext>
            </c:extLst>
          </c:dPt>
          <c:dPt>
            <c:idx val="6"/>
            <c:invertIfNegative val="0"/>
            <c:bubble3D val="0"/>
            <c:spPr>
              <a:solidFill>
                <a:srgbClr val="378A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6C9-4B7C-BA4C-7CBF2E2D6860}"/>
              </c:ext>
            </c:extLst>
          </c:dPt>
          <c:dPt>
            <c:idx val="7"/>
            <c:invertIfNegative val="0"/>
            <c:bubble3D val="0"/>
            <c:spPr>
              <a:solidFill>
                <a:srgbClr val="378A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6C9-4B7C-BA4C-7CBF2E2D6860}"/>
              </c:ext>
            </c:extLst>
          </c:dPt>
          <c:dPt>
            <c:idx val="8"/>
            <c:invertIfNegative val="0"/>
            <c:bubble3D val="0"/>
            <c:spPr>
              <a:solidFill>
                <a:srgbClr val="378A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6C9-4B7C-BA4C-7CBF2E2D6860}"/>
              </c:ext>
            </c:extLst>
          </c:dPt>
          <c:dPt>
            <c:idx val="9"/>
            <c:invertIfNegative val="0"/>
            <c:bubble3D val="0"/>
            <c:spPr>
              <a:solidFill>
                <a:srgbClr val="378A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6C9-4B7C-BA4C-7CBF2E2D6860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C2C0B6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'categorias'!$B$2:$B$11</c:f>
              <c:strCache>
                <c:ptCount val="10"/>
                <c:pt idx="0">
                  <c:v>bed_bath_table</c:v>
                </c:pt>
                <c:pt idx="1">
                  <c:v>health_beauty</c:v>
                </c:pt>
                <c:pt idx="2">
                  <c:v>sports_leisure</c:v>
                </c:pt>
                <c:pt idx="3">
                  <c:v>furniture_decor</c:v>
                </c:pt>
                <c:pt idx="4">
                  <c:v>computers_accessories</c:v>
                </c:pt>
                <c:pt idx="5">
                  <c:v>housewares</c:v>
                </c:pt>
                <c:pt idx="6">
                  <c:v>watches_gifts</c:v>
                </c:pt>
                <c:pt idx="7">
                  <c:v>telephony</c:v>
                </c:pt>
                <c:pt idx="8">
                  <c:v>garden_tools</c:v>
                </c:pt>
                <c:pt idx="9">
                  <c:v>auto</c:v>
                </c:pt>
              </c:strCache>
            </c:strRef>
          </c:cat>
          <c:val>
            <c:numRef>
              <c:f>'categorias'!$A$2:$A$11</c:f>
              <c:numCache>
                <c:formatCode>General</c:formatCode>
                <c:ptCount val="10"/>
                <c:pt idx="0">
                  <c:v>11115</c:v>
                </c:pt>
                <c:pt idx="1">
                  <c:v>9670</c:v>
                </c:pt>
                <c:pt idx="2">
                  <c:v>8641</c:v>
                </c:pt>
                <c:pt idx="3">
                  <c:v>8334</c:v>
                </c:pt>
                <c:pt idx="4">
                  <c:v>7827</c:v>
                </c:pt>
                <c:pt idx="5">
                  <c:v>6964</c:v>
                </c:pt>
                <c:pt idx="6">
                  <c:v>5991</c:v>
                </c:pt>
                <c:pt idx="7">
                  <c:v>4545</c:v>
                </c:pt>
                <c:pt idx="8">
                  <c:v>4347</c:v>
                </c:pt>
                <c:pt idx="9">
                  <c:v>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9-4B7C-BA4C-7CBF2E2D6860}"/>
            </c:ext>
          </c:extLst>
        </c:ser>
        <c:ser>
          <c:idx val="1"/>
          <c:order val="1"/>
          <c:tx>
            <c:strRef>
              <c:f>'categorias'!$B$1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'categorias'!$B$2:$B$11</c:f>
              <c:strCache>
                <c:ptCount val="10"/>
                <c:pt idx="0">
                  <c:v>bed_bath_table</c:v>
                </c:pt>
                <c:pt idx="1">
                  <c:v>health_beauty</c:v>
                </c:pt>
                <c:pt idx="2">
                  <c:v>sports_leisure</c:v>
                </c:pt>
                <c:pt idx="3">
                  <c:v>furniture_decor</c:v>
                </c:pt>
                <c:pt idx="4">
                  <c:v>computers_accessories</c:v>
                </c:pt>
                <c:pt idx="5">
                  <c:v>housewares</c:v>
                </c:pt>
                <c:pt idx="6">
                  <c:v>watches_gifts</c:v>
                </c:pt>
                <c:pt idx="7">
                  <c:v>telephony</c:v>
                </c:pt>
                <c:pt idx="8">
                  <c:v>garden_tools</c:v>
                </c:pt>
                <c:pt idx="9">
                  <c:v>auto</c:v>
                </c:pt>
              </c:strCache>
            </c:strRef>
          </c:cat>
          <c:val>
            <c:numRef>
              <c:f>'categorias'!$B$2:$B$11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9-4B7C-BA4C-7CBF2E2D68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2076505600"/>
        <c:axId val="2076506432"/>
      </c:barChart>
      <c:catAx>
        <c:axId val="2076505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C2C0B6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76506432"/>
        <c:crosses val="autoZero"/>
        <c:auto val="1"/>
        <c:lblAlgn val="ctr"/>
        <c:lblOffset val="100"/>
        <c:noMultiLvlLbl val="0"/>
      </c:catAx>
      <c:valAx>
        <c:axId val="20765064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7650560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30302E"/>
    </a:solidFill>
    <a:ln w="12700" cap="flat" cmpd="sng" algn="ctr">
      <a:solidFill>
        <a:srgbClr val="404040"/>
      </a:solidFill>
      <a:round/>
    </a:ln>
    <a:effectLst/>
  </c:spPr>
  <c:txPr>
    <a:bodyPr/>
    <a:lstStyle/>
    <a:p>
      <a:pPr>
        <a:defRPr baseline="0">
          <a:solidFill>
            <a:srgbClr val="C2C0B6"/>
          </a:solidFill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Evolución</a:t>
            </a:r>
            <a:r>
              <a:rPr lang="en-US" sz="1800" b="1" baseline="0">
                <a:solidFill>
                  <a:schemeClr val="bg1"/>
                </a:solidFill>
              </a:rPr>
              <a:t> mensual de órdenes</a:t>
            </a:r>
            <a:endParaRPr lang="en-US" sz="18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8167004518480736E-2"/>
          <c:y val="2.0671834625322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estacionalidad!$B$1</c:f>
              <c:strCache>
                <c:ptCount val="1"/>
                <c:pt idx="0">
                  <c:v>cantidad_ordenes</c:v>
                </c:pt>
              </c:strCache>
            </c:strRef>
          </c:tx>
          <c:spPr>
            <a:ln w="28575" cap="rnd">
              <a:solidFill>
                <a:srgbClr val="185FA5"/>
              </a:solidFill>
              <a:round/>
            </a:ln>
            <a:effectLst/>
          </c:spPr>
          <c:marker>
            <c:symbol val="none"/>
          </c:marker>
          <c:cat>
            <c:strRef>
              <c:f>estacionalidad!$A$2:$A$21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estacionalidad!$B$2:$B$21</c:f>
              <c:numCache>
                <c:formatCode>General</c:formatCode>
                <c:ptCount val="20"/>
                <c:pt idx="0">
                  <c:v>800</c:v>
                </c:pt>
                <c:pt idx="1">
                  <c:v>1780</c:v>
                </c:pt>
                <c:pt idx="2">
                  <c:v>2682</c:v>
                </c:pt>
                <c:pt idx="3">
                  <c:v>2404</c:v>
                </c:pt>
                <c:pt idx="4">
                  <c:v>3700</c:v>
                </c:pt>
                <c:pt idx="5">
                  <c:v>3245</c:v>
                </c:pt>
                <c:pt idx="6">
                  <c:v>4026</c:v>
                </c:pt>
                <c:pt idx="7">
                  <c:v>4331</c:v>
                </c:pt>
                <c:pt idx="8">
                  <c:v>4285</c:v>
                </c:pt>
                <c:pt idx="9">
                  <c:v>4631</c:v>
                </c:pt>
                <c:pt idx="10">
                  <c:v>7544</c:v>
                </c:pt>
                <c:pt idx="11">
                  <c:v>5673</c:v>
                </c:pt>
                <c:pt idx="12">
                  <c:v>7269</c:v>
                </c:pt>
                <c:pt idx="13">
                  <c:v>6728</c:v>
                </c:pt>
                <c:pt idx="14">
                  <c:v>7211</c:v>
                </c:pt>
                <c:pt idx="15">
                  <c:v>6939</c:v>
                </c:pt>
                <c:pt idx="16">
                  <c:v>6873</c:v>
                </c:pt>
                <c:pt idx="17">
                  <c:v>6167</c:v>
                </c:pt>
                <c:pt idx="18">
                  <c:v>6292</c:v>
                </c:pt>
                <c:pt idx="19">
                  <c:v>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1-44ED-8A87-50F3EAF98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360560"/>
        <c:axId val="2045363056"/>
      </c:lineChart>
      <c:catAx>
        <c:axId val="20453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C2C0B6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45363056"/>
        <c:crosses val="autoZero"/>
        <c:auto val="1"/>
        <c:lblAlgn val="ctr"/>
        <c:lblOffset val="100"/>
        <c:tickLblSkip val="3"/>
        <c:noMultiLvlLbl val="0"/>
      </c:catAx>
      <c:valAx>
        <c:axId val="20453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0404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C2C0B6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4536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0302E"/>
    </a:solidFill>
    <a:ln w="9525" cap="flat" cmpd="sng" algn="ctr">
      <a:solidFill>
        <a:srgbClr val="40404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C2C0B6"/>
          </a:solidFill>
          <a:latin typeface="+mn-lt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Top</a:t>
            </a:r>
            <a:r>
              <a:rPr lang="en-US" sz="1800" b="1" baseline="0">
                <a:solidFill>
                  <a:schemeClr val="bg1"/>
                </a:solidFill>
              </a:rPr>
              <a:t> 10 Ingresos por estado</a:t>
            </a:r>
            <a:endParaRPr lang="en-US" sz="18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5960557013706632E-2"/>
          <c:y val="2.0450885668276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estados!$B$1</c:f>
              <c:strCache>
                <c:ptCount val="1"/>
                <c:pt idx="0">
                  <c:v> ingresos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6D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7B-46B3-A409-EC4FE1B8CA81}"/>
              </c:ext>
            </c:extLst>
          </c:dPt>
          <c:dPt>
            <c:idx val="1"/>
            <c:invertIfNegative val="0"/>
            <c:bubble3D val="0"/>
            <c:spPr>
              <a:solidFill>
                <a:srgbClr val="3B6D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F7B-46B3-A409-EC4FE1B8CA81}"/>
              </c:ext>
            </c:extLst>
          </c:dPt>
          <c:dPt>
            <c:idx val="2"/>
            <c:invertIfNegative val="0"/>
            <c:bubble3D val="0"/>
            <c:spPr>
              <a:solidFill>
                <a:srgbClr val="3B6D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F7B-46B3-A409-EC4FE1B8CA81}"/>
              </c:ext>
            </c:extLst>
          </c:dPt>
          <c:dPt>
            <c:idx val="3"/>
            <c:invertIfNegative val="0"/>
            <c:bubble3D val="0"/>
            <c:spPr>
              <a:solidFill>
                <a:srgbClr val="63992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F7B-46B3-A409-EC4FE1B8CA81}"/>
              </c:ext>
            </c:extLst>
          </c:dPt>
          <c:dPt>
            <c:idx val="4"/>
            <c:invertIfNegative val="0"/>
            <c:bubble3D val="0"/>
            <c:spPr>
              <a:solidFill>
                <a:srgbClr val="63992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F7B-46B3-A409-EC4FE1B8CA81}"/>
              </c:ext>
            </c:extLst>
          </c:dPt>
          <c:dPt>
            <c:idx val="5"/>
            <c:invertIfNegative val="0"/>
            <c:bubble3D val="0"/>
            <c:spPr>
              <a:solidFill>
                <a:srgbClr val="63992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F7B-46B3-A409-EC4FE1B8CA81}"/>
              </c:ext>
            </c:extLst>
          </c:dPt>
          <c:dPt>
            <c:idx val="6"/>
            <c:invertIfNegative val="0"/>
            <c:bubble3D val="0"/>
            <c:spPr>
              <a:solidFill>
                <a:srgbClr val="63992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F7B-46B3-A409-EC4FE1B8CA81}"/>
              </c:ext>
            </c:extLst>
          </c:dPt>
          <c:dPt>
            <c:idx val="7"/>
            <c:invertIfNegative val="0"/>
            <c:bubble3D val="0"/>
            <c:spPr>
              <a:solidFill>
                <a:srgbClr val="97C4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F7B-46B3-A409-EC4FE1B8CA81}"/>
              </c:ext>
            </c:extLst>
          </c:dPt>
          <c:dPt>
            <c:idx val="8"/>
            <c:invertIfNegative val="0"/>
            <c:bubble3D val="0"/>
            <c:spPr>
              <a:solidFill>
                <a:srgbClr val="97C4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F7B-46B3-A409-EC4FE1B8CA81}"/>
              </c:ext>
            </c:extLst>
          </c:dPt>
          <c:dPt>
            <c:idx val="9"/>
            <c:invertIfNegative val="0"/>
            <c:bubble3D val="0"/>
            <c:spPr>
              <a:solidFill>
                <a:srgbClr val="97C4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F7B-46B3-A409-EC4FE1B8CA81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C2C0B6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estados!$A$2:$A$11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estados!$B$2:$B$11</c:f>
              <c:numCache>
                <c:formatCode>_-[$BRL]\ * #,##0.00_-;\-[$BRL]\ * #,##0.00_-;_-[$BRL]\ * "-"??_-;_-@_-</c:formatCode>
                <c:ptCount val="10"/>
                <c:pt idx="0">
                  <c:v>5202955.0500014983</c:v>
                </c:pt>
                <c:pt idx="1">
                  <c:v>1824092.6699998081</c:v>
                </c:pt>
                <c:pt idx="2">
                  <c:v>1585308.0299998729</c:v>
                </c:pt>
                <c:pt idx="3">
                  <c:v>750304.02000002307</c:v>
                </c:pt>
                <c:pt idx="4">
                  <c:v>683083.76000002061</c:v>
                </c:pt>
                <c:pt idx="5">
                  <c:v>520553.34000000742</c:v>
                </c:pt>
                <c:pt idx="6">
                  <c:v>511349.99000000732</c:v>
                </c:pt>
                <c:pt idx="7">
                  <c:v>302603.93999999779</c:v>
                </c:pt>
                <c:pt idx="8">
                  <c:v>294591.94999999722</c:v>
                </c:pt>
                <c:pt idx="9">
                  <c:v>275037.30999999627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B-46B3-A409-EC4FE1B8C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5609536"/>
        <c:axId val="1105606624"/>
      </c:barChart>
      <c:catAx>
        <c:axId val="11056095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C2C0B6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05606624"/>
        <c:crosses val="autoZero"/>
        <c:auto val="1"/>
        <c:lblAlgn val="ctr"/>
        <c:lblOffset val="100"/>
        <c:noMultiLvlLbl val="0"/>
      </c:catAx>
      <c:valAx>
        <c:axId val="11056066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rgbClr val="404040"/>
              </a:solidFill>
              <a:round/>
            </a:ln>
            <a:effectLst/>
          </c:spPr>
        </c:majorGridlines>
        <c:numFmt formatCode="_-[$BRL]\ * #,##0.00_-;\-[$BRL]\ * #,##0.00_-;_-[$BRL]\ * &quot;-&quot;??_-;_-@_-" sourceLinked="1"/>
        <c:majorTickMark val="none"/>
        <c:minorTickMark val="none"/>
        <c:tickLblPos val="nextTo"/>
        <c:crossAx val="110560953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30302E"/>
    </a:solidFill>
    <a:ln w="9525" cap="flat" cmpd="sng" algn="ctr">
      <a:solidFill>
        <a:srgbClr val="404040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</xdr:row>
      <xdr:rowOff>57149</xdr:rowOff>
    </xdr:from>
    <xdr:to>
      <xdr:col>7</xdr:col>
      <xdr:colOff>228600</xdr:colOff>
      <xdr:row>49</xdr:row>
      <xdr:rowOff>163649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E534D6CD-49F2-483E-9AEB-2A697A209972}"/>
            </a:ext>
          </a:extLst>
        </xdr:cNvPr>
        <xdr:cNvSpPr/>
      </xdr:nvSpPr>
      <xdr:spPr>
        <a:xfrm>
          <a:off x="76200" y="5772149"/>
          <a:ext cx="5486400" cy="3726000"/>
        </a:xfrm>
        <a:prstGeom prst="rect">
          <a:avLst/>
        </a:prstGeom>
        <a:solidFill>
          <a:srgbClr val="30302E"/>
        </a:solidFill>
        <a:ln w="12700">
          <a:solidFill>
            <a:srgbClr val="404040"/>
          </a:solidFill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419" sz="1800" b="1">
              <a:solidFill>
                <a:schemeClr val="bg1"/>
              </a:solidFill>
              <a:latin typeface="+mn-lt"/>
              <a:ea typeface="+mn-ea"/>
              <a:cs typeface="+mn-cs"/>
            </a:rPr>
            <a:t>Tiempos de entrega</a:t>
          </a:r>
        </a:p>
      </xdr:txBody>
    </xdr:sp>
    <xdr:clientData/>
  </xdr:twoCellAnchor>
  <xdr:twoCellAnchor>
    <xdr:from>
      <xdr:col>0</xdr:col>
      <xdr:colOff>87406</xdr:colOff>
      <xdr:row>8</xdr:row>
      <xdr:rowOff>163605</xdr:rowOff>
    </xdr:from>
    <xdr:to>
      <xdr:col>7</xdr:col>
      <xdr:colOff>239806</xdr:colOff>
      <xdr:row>28</xdr:row>
      <xdr:rowOff>77880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DAD08B-4890-4912-B313-47A6A4B88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632572</xdr:colOff>
      <xdr:row>8</xdr:row>
      <xdr:rowOff>184336</xdr:rowOff>
    </xdr:from>
    <xdr:to>
      <xdr:col>15</xdr:col>
      <xdr:colOff>22972</xdr:colOff>
      <xdr:row>28</xdr:row>
      <xdr:rowOff>100336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FEF28D-5DC2-47E0-9894-8E1EE86EC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328889</xdr:colOff>
      <xdr:row>32</xdr:row>
      <xdr:rowOff>187137</xdr:rowOff>
    </xdr:from>
    <xdr:to>
      <xdr:col>3</xdr:col>
      <xdr:colOff>485774</xdr:colOff>
      <xdr:row>40</xdr:row>
      <xdr:rowOff>123825</xdr:rowOff>
    </xdr:to>
    <xdr:sp macro="" textlink="entregas!B2">
      <xdr:nvSpPr>
        <xdr:cNvPr id="4" name="CuadroTexto 3">
          <a:extLst>
            <a:ext uri="{FF2B5EF4-FFF2-40B4-BE49-F238E27FC236}">
              <a16:creationId xmlns:a16="http://schemas.microsoft.com/office/drawing/2014/main" id="{BF972CB6-FE7A-4B11-9340-3CB482D51DA6}"/>
            </a:ext>
          </a:extLst>
        </xdr:cNvPr>
        <xdr:cNvSpPr txBox="1"/>
      </xdr:nvSpPr>
      <xdr:spPr>
        <a:xfrm>
          <a:off x="328889" y="6283137"/>
          <a:ext cx="2442885" cy="1460688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Promedio</a:t>
          </a:r>
        </a:p>
        <a:p>
          <a:pPr algn="ctr"/>
          <a:fld id="{C7183D88-A832-49A5-9127-F6A49E2BDE5B}" type="TxLink">
            <a:rPr lang="en-US" sz="2000" b="0" i="0" u="none" strike="noStrike">
              <a:solidFill>
                <a:srgbClr val="185FA5"/>
              </a:solidFill>
              <a:latin typeface="Calibri"/>
              <a:ea typeface="Calibri"/>
              <a:cs typeface="Calibri"/>
            </a:rPr>
            <a:pPr algn="ctr"/>
            <a:t>12,1</a:t>
          </a:fld>
          <a:endParaRPr lang="en-US" sz="2000" b="0" i="0" u="none" strike="noStrike">
            <a:solidFill>
              <a:srgbClr val="185FA5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días</a:t>
          </a:r>
          <a:endParaRPr lang="es-419" sz="2000">
            <a:solidFill>
              <a:srgbClr val="C2C0B6"/>
            </a:solidFill>
          </a:endParaRPr>
        </a:p>
      </xdr:txBody>
    </xdr:sp>
    <xdr:clientData/>
  </xdr:twoCellAnchor>
  <xdr:twoCellAnchor>
    <xdr:from>
      <xdr:col>3</xdr:col>
      <xdr:colOff>618004</xdr:colOff>
      <xdr:row>32</xdr:row>
      <xdr:rowOff>187138</xdr:rowOff>
    </xdr:from>
    <xdr:to>
      <xdr:col>7</xdr:col>
      <xdr:colOff>14404</xdr:colOff>
      <xdr:row>40</xdr:row>
      <xdr:rowOff>124738</xdr:rowOff>
    </xdr:to>
    <xdr:sp macro="" textlink="entregas!B3">
      <xdr:nvSpPr>
        <xdr:cNvPr id="5" name="CuadroTexto 4">
          <a:extLst>
            <a:ext uri="{FF2B5EF4-FFF2-40B4-BE49-F238E27FC236}">
              <a16:creationId xmlns:a16="http://schemas.microsoft.com/office/drawing/2014/main" id="{3A6B2331-4259-49C8-8E4E-ED0A669D0C1E}"/>
            </a:ext>
          </a:extLst>
        </xdr:cNvPr>
        <xdr:cNvSpPr txBox="1"/>
      </xdr:nvSpPr>
      <xdr:spPr>
        <a:xfrm>
          <a:off x="2904004" y="6283138"/>
          <a:ext cx="2444400" cy="1461600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Mediana</a:t>
          </a:r>
        </a:p>
        <a:p>
          <a:pPr algn="ctr"/>
          <a:fld id="{A137FA98-5022-45C1-9FFB-434F3FBC5CE5}" type="TxLink">
            <a:rPr lang="en-US" sz="2000" b="0" i="0" u="none" strike="noStrike">
              <a:solidFill>
                <a:srgbClr val="3B6D11"/>
              </a:solidFill>
              <a:latin typeface="Calibri"/>
              <a:ea typeface="Calibri"/>
              <a:cs typeface="Calibri"/>
            </a:rPr>
            <a:pPr algn="ctr"/>
            <a:t>10</a:t>
          </a:fld>
          <a:endParaRPr lang="en-US" sz="2000" b="0" i="0" u="none" strike="noStrike">
            <a:solidFill>
              <a:srgbClr val="3B6D11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días</a:t>
          </a:r>
          <a:endParaRPr lang="es-419" sz="2800">
            <a:solidFill>
              <a:srgbClr val="C2C0B6"/>
            </a:solidFill>
          </a:endParaRPr>
        </a:p>
      </xdr:txBody>
    </xdr:sp>
    <xdr:clientData/>
  </xdr:twoCellAnchor>
  <xdr:twoCellAnchor>
    <xdr:from>
      <xdr:col>3</xdr:col>
      <xdr:colOff>616323</xdr:colOff>
      <xdr:row>41</xdr:row>
      <xdr:rowOff>56590</xdr:rowOff>
    </xdr:from>
    <xdr:to>
      <xdr:col>7</xdr:col>
      <xdr:colOff>12723</xdr:colOff>
      <xdr:row>48</xdr:row>
      <xdr:rowOff>184690</xdr:rowOff>
    </xdr:to>
    <xdr:sp macro="" textlink="entregas!B5">
      <xdr:nvSpPr>
        <xdr:cNvPr id="6" name="CuadroTexto 5">
          <a:extLst>
            <a:ext uri="{FF2B5EF4-FFF2-40B4-BE49-F238E27FC236}">
              <a16:creationId xmlns:a16="http://schemas.microsoft.com/office/drawing/2014/main" id="{B9327E51-536C-4CF6-90A3-2DD5DEE12220}"/>
            </a:ext>
          </a:extLst>
        </xdr:cNvPr>
        <xdr:cNvSpPr txBox="1"/>
      </xdr:nvSpPr>
      <xdr:spPr>
        <a:xfrm>
          <a:off x="2902323" y="7867090"/>
          <a:ext cx="2444400" cy="1461600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Percentil 75</a:t>
          </a:r>
        </a:p>
        <a:p>
          <a:pPr algn="ctr"/>
          <a:fld id="{265FF6FA-AAB4-42CA-8FB2-A4C98DD3C6D8}" type="TxLink">
            <a:rPr lang="en-US" sz="2000" b="0" i="0" u="none" strike="noStrike">
              <a:solidFill>
                <a:srgbClr val="854F0B"/>
              </a:solidFill>
              <a:latin typeface="Calibri"/>
              <a:ea typeface="Calibri"/>
              <a:cs typeface="Calibri"/>
            </a:rPr>
            <a:pPr algn="ctr"/>
            <a:t>15</a:t>
          </a:fld>
          <a:endParaRPr lang="en-US" sz="2000" b="0" i="0" u="none" strike="noStrike">
            <a:solidFill>
              <a:srgbClr val="854F0B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días</a:t>
          </a:r>
          <a:endParaRPr lang="es-419" sz="2800">
            <a:solidFill>
              <a:srgbClr val="C2C0B6"/>
            </a:solidFill>
          </a:endParaRPr>
        </a:p>
      </xdr:txBody>
    </xdr:sp>
    <xdr:clientData/>
  </xdr:twoCellAnchor>
  <xdr:twoCellAnchor>
    <xdr:from>
      <xdr:col>0</xdr:col>
      <xdr:colOff>328892</xdr:colOff>
      <xdr:row>41</xdr:row>
      <xdr:rowOff>47065</xdr:rowOff>
    </xdr:from>
    <xdr:to>
      <xdr:col>3</xdr:col>
      <xdr:colOff>487292</xdr:colOff>
      <xdr:row>48</xdr:row>
      <xdr:rowOff>175165</xdr:rowOff>
    </xdr:to>
    <xdr:sp macro="" textlink="entregas!B4">
      <xdr:nvSpPr>
        <xdr:cNvPr id="7" name="CuadroTexto 6">
          <a:extLst>
            <a:ext uri="{FF2B5EF4-FFF2-40B4-BE49-F238E27FC236}">
              <a16:creationId xmlns:a16="http://schemas.microsoft.com/office/drawing/2014/main" id="{806E7037-13EB-42DD-B2DE-20C19F11AA42}"/>
            </a:ext>
          </a:extLst>
        </xdr:cNvPr>
        <xdr:cNvSpPr txBox="1"/>
      </xdr:nvSpPr>
      <xdr:spPr>
        <a:xfrm>
          <a:off x="328892" y="7857565"/>
          <a:ext cx="2444400" cy="1461600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Percentil 25</a:t>
          </a:r>
        </a:p>
        <a:p>
          <a:pPr algn="ctr"/>
          <a:fld id="{8C7158D9-C968-4EB4-8483-E24A437EF959}" type="TxLink">
            <a:rPr lang="en-US" sz="2000" b="0" i="0" u="none" strike="noStrike">
              <a:solidFill>
                <a:srgbClr val="639922"/>
              </a:solidFill>
              <a:latin typeface="Calibri"/>
              <a:ea typeface="Calibri"/>
              <a:cs typeface="Calibri"/>
            </a:rPr>
            <a:pPr algn="ctr"/>
            <a:t>6</a:t>
          </a:fld>
          <a:endParaRPr lang="en-US" sz="2000" b="0" i="0" u="none" strike="noStrike">
            <a:solidFill>
              <a:srgbClr val="639922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20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días</a:t>
          </a:r>
          <a:endParaRPr lang="es-419" sz="2800">
            <a:solidFill>
              <a:srgbClr val="C2C0B6"/>
            </a:solidFill>
          </a:endParaRPr>
        </a:p>
      </xdr:txBody>
    </xdr:sp>
    <xdr:clientData/>
  </xdr:twoCellAnchor>
  <xdr:twoCellAnchor>
    <xdr:from>
      <xdr:col>0</xdr:col>
      <xdr:colOff>273983</xdr:colOff>
      <xdr:row>4</xdr:row>
      <xdr:rowOff>47625</xdr:rowOff>
    </xdr:from>
    <xdr:to>
      <xdr:col>3</xdr:col>
      <xdr:colOff>173131</xdr:colOff>
      <xdr:row>7</xdr:row>
      <xdr:rowOff>170890</xdr:rowOff>
    </xdr:to>
    <xdr:sp macro="" textlink="estacionalidad!B22">
      <xdr:nvSpPr>
        <xdr:cNvPr id="14" name="CuadroTexto 13">
          <a:extLst>
            <a:ext uri="{FF2B5EF4-FFF2-40B4-BE49-F238E27FC236}">
              <a16:creationId xmlns:a16="http://schemas.microsoft.com/office/drawing/2014/main" id="{678238CB-66C9-4D43-95A8-4F919042428A}"/>
            </a:ext>
          </a:extLst>
        </xdr:cNvPr>
        <xdr:cNvSpPr txBox="1"/>
      </xdr:nvSpPr>
      <xdr:spPr>
        <a:xfrm>
          <a:off x="273983" y="809625"/>
          <a:ext cx="2185148" cy="694765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TOTAL</a:t>
          </a:r>
          <a:r>
            <a:rPr lang="en-US" sz="1800" b="0" i="0" u="none" strike="noStrike" baseline="0">
              <a:solidFill>
                <a:srgbClr val="C2C0B6"/>
              </a:solidFill>
              <a:latin typeface="Calibri"/>
              <a:ea typeface="Calibri"/>
              <a:cs typeface="Calibri"/>
            </a:rPr>
            <a:t> ÓRDENES</a:t>
          </a:r>
          <a:endParaRPr lang="en-US" sz="1800" b="0" i="0" u="none" strike="noStrike">
            <a:solidFill>
              <a:srgbClr val="C2C0B6"/>
            </a:solidFill>
            <a:latin typeface="Calibri"/>
            <a:ea typeface="Calibri"/>
            <a:cs typeface="Calibri"/>
          </a:endParaRPr>
        </a:p>
        <a:p>
          <a:pPr algn="ctr"/>
          <a:fld id="{E8941CD8-FC2E-434A-8ED6-504872AED89E}" type="TxLink">
            <a:rPr lang="en-US" sz="1800" b="0" i="0" u="none" strike="noStrike">
              <a:solidFill>
                <a:srgbClr val="185FA5"/>
              </a:solidFill>
              <a:latin typeface="Calibri"/>
              <a:ea typeface="Calibri"/>
              <a:cs typeface="Calibri"/>
            </a:rPr>
            <a:pPr algn="ctr"/>
            <a:t> 99.092 </a:t>
          </a:fld>
          <a:endParaRPr lang="es-419" sz="6600" b="0" i="0" u="none" strike="noStrike">
            <a:solidFill>
              <a:srgbClr val="185FA5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67236</xdr:colOff>
      <xdr:row>4</xdr:row>
      <xdr:rowOff>36419</xdr:rowOff>
    </xdr:from>
    <xdr:to>
      <xdr:col>6</xdr:col>
      <xdr:colOff>728384</xdr:colOff>
      <xdr:row>7</xdr:row>
      <xdr:rowOff>159684</xdr:rowOff>
    </xdr:to>
    <xdr:sp macro="" textlink="estados!B29">
      <xdr:nvSpPr>
        <xdr:cNvPr id="15" name="CuadroTexto 14">
          <a:extLst>
            <a:ext uri="{FF2B5EF4-FFF2-40B4-BE49-F238E27FC236}">
              <a16:creationId xmlns:a16="http://schemas.microsoft.com/office/drawing/2014/main" id="{D1BED5C3-89B2-4E9E-8311-4E536388D589}"/>
            </a:ext>
          </a:extLst>
        </xdr:cNvPr>
        <xdr:cNvSpPr txBox="1"/>
      </xdr:nvSpPr>
      <xdr:spPr>
        <a:xfrm>
          <a:off x="3115236" y="798419"/>
          <a:ext cx="2185148" cy="694765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INGRESOS TOTALES</a:t>
          </a:r>
        </a:p>
        <a:p>
          <a:pPr algn="ctr"/>
          <a:fld id="{FC7FAA86-0E68-40F0-B255-5A197349A7B0}" type="TxLink">
            <a:rPr lang="en-US" sz="1800" b="0" i="0" u="none" strike="noStrike">
              <a:solidFill>
                <a:srgbClr val="3B6D11"/>
              </a:solidFill>
              <a:latin typeface="Calibri"/>
              <a:ea typeface="Calibri"/>
              <a:cs typeface="Calibri"/>
            </a:rPr>
            <a:pPr algn="ctr"/>
            <a:t> BRL 13.591.644 </a:t>
          </a:fld>
          <a:endParaRPr lang="en-US" sz="1800" b="0" i="0" u="none" strike="noStrike">
            <a:solidFill>
              <a:srgbClr val="3B6D1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147750</xdr:colOff>
      <xdr:row>4</xdr:row>
      <xdr:rowOff>33498</xdr:rowOff>
    </xdr:from>
    <xdr:to>
      <xdr:col>11</xdr:col>
      <xdr:colOff>46898</xdr:colOff>
      <xdr:row>7</xdr:row>
      <xdr:rowOff>156763</xdr:rowOff>
    </xdr:to>
    <xdr:sp macro="" textlink="entregas!B2">
      <xdr:nvSpPr>
        <xdr:cNvPr id="18" name="CuadroTexto 17">
          <a:extLst>
            <a:ext uri="{FF2B5EF4-FFF2-40B4-BE49-F238E27FC236}">
              <a16:creationId xmlns:a16="http://schemas.microsoft.com/office/drawing/2014/main" id="{7FC9938D-883F-4D77-926E-A7B9CC0B8940}"/>
            </a:ext>
          </a:extLst>
        </xdr:cNvPr>
        <xdr:cNvSpPr txBox="1"/>
      </xdr:nvSpPr>
      <xdr:spPr>
        <a:xfrm>
          <a:off x="6243750" y="795498"/>
          <a:ext cx="2185148" cy="694765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ENTREGA PROMEDIO</a:t>
          </a:r>
        </a:p>
        <a:p>
          <a:pPr algn="ctr"/>
          <a:fld id="{E0D3DA66-FFCB-41D0-8C61-F320A7D3AB69}" type="TxLink">
            <a:rPr lang="en-US" sz="1800" b="0" i="0" u="none" strike="noStrike">
              <a:solidFill>
                <a:srgbClr val="854F0B"/>
              </a:solidFill>
              <a:latin typeface="Calibri"/>
              <a:ea typeface="Calibri"/>
              <a:cs typeface="Calibri"/>
            </a:rPr>
            <a:pPr algn="ctr"/>
            <a:t>12,1</a:t>
          </a:fld>
          <a:r>
            <a:rPr lang="en-US" sz="1800" b="0" i="0" u="none" strike="noStrike">
              <a:solidFill>
                <a:srgbClr val="854F0B"/>
              </a:solidFill>
              <a:latin typeface="Calibri"/>
              <a:ea typeface="Calibri"/>
              <a:cs typeface="Calibri"/>
            </a:rPr>
            <a:t> días</a:t>
          </a:r>
          <a:endParaRPr lang="en-US" sz="3200" b="0" i="0" u="none" strike="noStrike">
            <a:solidFill>
              <a:srgbClr val="854F0B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661368</xdr:colOff>
      <xdr:row>4</xdr:row>
      <xdr:rowOff>39342</xdr:rowOff>
    </xdr:from>
    <xdr:to>
      <xdr:col>14</xdr:col>
      <xdr:colOff>560516</xdr:colOff>
      <xdr:row>7</xdr:row>
      <xdr:rowOff>162607</xdr:rowOff>
    </xdr:to>
    <xdr:sp macro="" textlink="estados!A2">
      <xdr:nvSpPr>
        <xdr:cNvPr id="19" name="CuadroTexto 18">
          <a:extLst>
            <a:ext uri="{FF2B5EF4-FFF2-40B4-BE49-F238E27FC236}">
              <a16:creationId xmlns:a16="http://schemas.microsoft.com/office/drawing/2014/main" id="{C1F0C23F-62A1-4E05-8DCD-B0FFDD223723}"/>
            </a:ext>
          </a:extLst>
        </xdr:cNvPr>
        <xdr:cNvSpPr txBox="1"/>
      </xdr:nvSpPr>
      <xdr:spPr>
        <a:xfrm>
          <a:off x="9043368" y="801342"/>
          <a:ext cx="2185148" cy="694765"/>
        </a:xfrm>
        <a:prstGeom prst="rect">
          <a:avLst/>
        </a:prstGeom>
        <a:solidFill>
          <a:srgbClr val="2626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0" i="0" u="none" strike="noStrike">
              <a:solidFill>
                <a:srgbClr val="C2C0B6"/>
              </a:solidFill>
              <a:latin typeface="Calibri"/>
              <a:ea typeface="Calibri"/>
              <a:cs typeface="Calibri"/>
            </a:rPr>
            <a:t>ESTADO TOP</a:t>
          </a:r>
        </a:p>
        <a:p>
          <a:pPr algn="ctr"/>
          <a:fld id="{BE7F9C1D-0B57-4A66-87B6-B9DC48C7AE55}" type="TxLink">
            <a:rPr lang="en-US" sz="1800" b="0" i="0" u="none" strike="noStrike">
              <a:solidFill>
                <a:srgbClr val="993C1D"/>
              </a:solidFill>
              <a:latin typeface="Calibri"/>
              <a:ea typeface="Calibri"/>
              <a:cs typeface="Calibri"/>
            </a:rPr>
            <a:pPr algn="ctr"/>
            <a:t>SP</a:t>
          </a:fld>
          <a:endParaRPr lang="en-US" sz="4800" b="0" i="0" u="none" strike="noStrike">
            <a:solidFill>
              <a:srgbClr val="993C1D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634253</xdr:colOff>
      <xdr:row>30</xdr:row>
      <xdr:rowOff>56588</xdr:rowOff>
    </xdr:from>
    <xdr:to>
      <xdr:col>15</xdr:col>
      <xdr:colOff>24653</xdr:colOff>
      <xdr:row>49</xdr:row>
      <xdr:rowOff>163088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F6D30EA-87F2-460E-AE0C-0D6A0D94B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2E11B5-E343-4E29-A42B-82AA1AA0CAD6}" name="Categorias" displayName="Categorias" ref="A1:B72" totalsRowShown="0" headerRowDxfId="14" headerRowBorderDxfId="13" tableBorderDxfId="12">
  <autoFilter ref="A1:B72" xr:uid="{6D2E11B5-E343-4E29-A42B-82AA1AA0CAD6}">
    <filterColumn colId="0">
      <top10 val="10" filterVal="4235"/>
    </filterColumn>
  </autoFilter>
  <tableColumns count="2">
    <tableColumn id="1" xr3:uid="{27534928-D409-4805-BB37-B3B81FBBF7C6}" name="cantidad_vendida"/>
    <tableColumn id="2" xr3:uid="{7124EBD0-081D-4633-9994-91BA3B36C71E}" name="categori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E9FE32-3562-42D2-AE3D-06979A024440}" name="entregas" displayName="entregas" ref="A1:B6" totalsRowShown="0" headerRowDxfId="11" headerRowBorderDxfId="10" tableBorderDxfId="9">
  <autoFilter ref="A1:B6" xr:uid="{7CE9FE32-3562-42D2-AE3D-06979A024440}"/>
  <tableColumns count="2">
    <tableColumn id="1" xr3:uid="{173A877B-2558-4604-A17B-E4183A3098BA}" name="metrica"/>
    <tableColumn id="2" xr3:uid="{1D7A23D3-5450-4819-88EE-2CB664907351}" name="di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CF644-33C3-4876-977C-FD76E96C8A53}" name="estacionalidad" displayName="estacionalidad" ref="A1:B22" totalsRowCount="1" headerRowDxfId="8" headerRowBorderDxfId="7" tableBorderDxfId="6">
  <autoFilter ref="A1:B21" xr:uid="{A89CF644-33C3-4876-977C-FD76E96C8A53}"/>
  <tableColumns count="2">
    <tableColumn id="1" xr3:uid="{7D56D6B1-6848-404A-8780-95D48F27C4D2}" name="anio_mes" totalsRowLabel="Total"/>
    <tableColumn id="2" xr3:uid="{29808E43-6BE6-4C0E-95E2-93C6D8DA31EE}" name="cantidad_ordenes" totalsRowFunction="custom" totalsRowDxfId="5" totalsRowCellStyle="Millares">
      <totalsRowFormula>SUM(estacionalidad[cantidad_ordenes])</totalsRow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C93A4-F665-4EEE-877A-99932E144DBB}" name="estados" displayName="estados" ref="A1:B29" totalsRowCount="1" headerRowDxfId="4" headerRowBorderDxfId="3" tableBorderDxfId="2">
  <autoFilter ref="A1:B28" xr:uid="{02EC93A4-F665-4EEE-877A-99932E144DBB}"/>
  <tableColumns count="2">
    <tableColumn id="1" xr3:uid="{3E4A7552-3D73-4DA8-9F59-CE93156B0CCA}" name="estado" totalsRowLabel="Total"/>
    <tableColumn id="2" xr3:uid="{68C43E95-64B1-43FA-9D3D-4931DA423451}" name="ingresos" totalsRowFunction="custom" dataDxfId="1" totalsRowDxfId="0" dataCellStyle="Moneda" totalsRowCellStyle="Moneda">
      <totalsRowFormula>SUM(estados[ingresos])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AC6E-97FD-4654-AEFF-280D7A4D2752}">
  <dimension ref="A1:P53"/>
  <sheetViews>
    <sheetView showGridLines="0" tabSelected="1" zoomScaleNormal="100" workbookViewId="0">
      <selection activeCell="S10" sqref="S10"/>
    </sheetView>
  </sheetViews>
  <sheetFormatPr baseColWidth="10" defaultRowHeight="15" x14ac:dyDescent="0.25"/>
  <cols>
    <col min="1" max="15" width="11.42578125" style="1"/>
    <col min="16" max="16" width="1.5703125" style="1" customWidth="1"/>
    <col min="17" max="16384" width="11.42578125" style="1"/>
  </cols>
  <sheetData>
    <row r="1" spans="1:16" ht="15" customHeight="1" x14ac:dyDescent="0.25">
      <c r="A1" s="9" t="s">
        <v>131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5" customHeight="1" x14ac:dyDescent="0.25">
      <c r="A3" s="10" t="s">
        <v>132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</sheetData>
  <mergeCells count="2">
    <mergeCell ref="A1:P2"/>
    <mergeCell ref="A3:P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workbookViewId="0">
      <selection activeCell="B85" sqref="B85"/>
    </sheetView>
  </sheetViews>
  <sheetFormatPr baseColWidth="10" defaultColWidth="9.140625" defaultRowHeight="15" x14ac:dyDescent="0.25"/>
  <cols>
    <col min="1" max="1" width="21.42578125" bestFit="1" customWidth="1"/>
    <col min="2" max="2" width="39.42578125" bestFit="1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>
        <v>11115</v>
      </c>
      <c r="B2" t="s">
        <v>2</v>
      </c>
    </row>
    <row r="3" spans="1:2" x14ac:dyDescent="0.25">
      <c r="A3">
        <v>9670</v>
      </c>
      <c r="B3" t="s">
        <v>3</v>
      </c>
    </row>
    <row r="4" spans="1:2" x14ac:dyDescent="0.25">
      <c r="A4">
        <v>8641</v>
      </c>
      <c r="B4" t="s">
        <v>4</v>
      </c>
    </row>
    <row r="5" spans="1:2" x14ac:dyDescent="0.25">
      <c r="A5">
        <v>8334</v>
      </c>
      <c r="B5" t="s">
        <v>5</v>
      </c>
    </row>
    <row r="6" spans="1:2" x14ac:dyDescent="0.25">
      <c r="A6">
        <v>7827</v>
      </c>
      <c r="B6" t="s">
        <v>6</v>
      </c>
    </row>
    <row r="7" spans="1:2" x14ac:dyDescent="0.25">
      <c r="A7">
        <v>6964</v>
      </c>
      <c r="B7" t="s">
        <v>7</v>
      </c>
    </row>
    <row r="8" spans="1:2" x14ac:dyDescent="0.25">
      <c r="A8">
        <v>5991</v>
      </c>
      <c r="B8" t="s">
        <v>8</v>
      </c>
    </row>
    <row r="9" spans="1:2" x14ac:dyDescent="0.25">
      <c r="A9">
        <v>4545</v>
      </c>
      <c r="B9" t="s">
        <v>9</v>
      </c>
    </row>
    <row r="10" spans="1:2" x14ac:dyDescent="0.25">
      <c r="A10">
        <v>4347</v>
      </c>
      <c r="B10" t="s">
        <v>10</v>
      </c>
    </row>
    <row r="11" spans="1:2" x14ac:dyDescent="0.25">
      <c r="A11">
        <v>4235</v>
      </c>
      <c r="B11" t="s">
        <v>11</v>
      </c>
    </row>
    <row r="12" spans="1:2" hidden="1" x14ac:dyDescent="0.25">
      <c r="A12">
        <v>4117</v>
      </c>
      <c r="B12" t="s">
        <v>12</v>
      </c>
    </row>
    <row r="13" spans="1:2" hidden="1" x14ac:dyDescent="0.25">
      <c r="A13">
        <v>3796</v>
      </c>
      <c r="B13" t="s">
        <v>13</v>
      </c>
    </row>
    <row r="14" spans="1:2" hidden="1" x14ac:dyDescent="0.25">
      <c r="A14">
        <v>3419</v>
      </c>
      <c r="B14" t="s">
        <v>14</v>
      </c>
    </row>
    <row r="15" spans="1:2" hidden="1" x14ac:dyDescent="0.25">
      <c r="A15">
        <v>3065</v>
      </c>
      <c r="B15" t="s">
        <v>15</v>
      </c>
    </row>
    <row r="16" spans="1:2" hidden="1" x14ac:dyDescent="0.25">
      <c r="A16">
        <v>2767</v>
      </c>
      <c r="B16" t="s">
        <v>16</v>
      </c>
    </row>
    <row r="17" spans="1:2" hidden="1" x14ac:dyDescent="0.25">
      <c r="A17">
        <v>2517</v>
      </c>
      <c r="B17" t="s">
        <v>17</v>
      </c>
    </row>
    <row r="18" spans="1:2" hidden="1" x14ac:dyDescent="0.25">
      <c r="A18">
        <v>2031</v>
      </c>
      <c r="B18" t="s">
        <v>18</v>
      </c>
    </row>
    <row r="19" spans="1:2" hidden="1" x14ac:dyDescent="0.25">
      <c r="A19">
        <v>1947</v>
      </c>
      <c r="B19" t="s">
        <v>19</v>
      </c>
    </row>
    <row r="20" spans="1:2" hidden="1" x14ac:dyDescent="0.25">
      <c r="A20">
        <v>1691</v>
      </c>
      <c r="B20" t="s">
        <v>20</v>
      </c>
    </row>
    <row r="21" spans="1:2" hidden="1" x14ac:dyDescent="0.25">
      <c r="A21">
        <v>1137</v>
      </c>
      <c r="B21" t="s">
        <v>21</v>
      </c>
    </row>
    <row r="22" spans="1:2" hidden="1" x14ac:dyDescent="0.25">
      <c r="A22">
        <v>1092</v>
      </c>
      <c r="B22" t="s">
        <v>22</v>
      </c>
    </row>
    <row r="23" spans="1:2" hidden="1" x14ac:dyDescent="0.25">
      <c r="A23">
        <v>929</v>
      </c>
      <c r="B23" t="s">
        <v>23</v>
      </c>
    </row>
    <row r="24" spans="1:2" hidden="1" x14ac:dyDescent="0.25">
      <c r="A24">
        <v>771</v>
      </c>
      <c r="B24" t="s">
        <v>24</v>
      </c>
    </row>
    <row r="25" spans="1:2" hidden="1" x14ac:dyDescent="0.25">
      <c r="A25">
        <v>680</v>
      </c>
      <c r="B25" t="s">
        <v>25</v>
      </c>
    </row>
    <row r="26" spans="1:2" hidden="1" x14ac:dyDescent="0.25">
      <c r="A26">
        <v>679</v>
      </c>
      <c r="B26" t="s">
        <v>26</v>
      </c>
    </row>
    <row r="27" spans="1:2" hidden="1" x14ac:dyDescent="0.25">
      <c r="A27">
        <v>604</v>
      </c>
      <c r="B27" t="s">
        <v>27</v>
      </c>
    </row>
    <row r="28" spans="1:2" hidden="1" x14ac:dyDescent="0.25">
      <c r="A28">
        <v>553</v>
      </c>
      <c r="B28" t="s">
        <v>28</v>
      </c>
    </row>
    <row r="29" spans="1:2" hidden="1" x14ac:dyDescent="0.25">
      <c r="A29">
        <v>510</v>
      </c>
      <c r="B29" t="s">
        <v>29</v>
      </c>
    </row>
    <row r="30" spans="1:2" hidden="1" x14ac:dyDescent="0.25">
      <c r="A30">
        <v>503</v>
      </c>
      <c r="B30" t="s">
        <v>30</v>
      </c>
    </row>
    <row r="31" spans="1:2" hidden="1" x14ac:dyDescent="0.25">
      <c r="A31">
        <v>434</v>
      </c>
      <c r="B31" t="s">
        <v>31</v>
      </c>
    </row>
    <row r="32" spans="1:2" hidden="1" x14ac:dyDescent="0.25">
      <c r="A32">
        <v>379</v>
      </c>
      <c r="B32" t="s">
        <v>32</v>
      </c>
    </row>
    <row r="33" spans="1:2" hidden="1" x14ac:dyDescent="0.25">
      <c r="A33">
        <v>364</v>
      </c>
      <c r="B33" t="s">
        <v>33</v>
      </c>
    </row>
    <row r="34" spans="1:2" hidden="1" x14ac:dyDescent="0.25">
      <c r="A34">
        <v>311</v>
      </c>
      <c r="B34" t="s">
        <v>34</v>
      </c>
    </row>
    <row r="35" spans="1:2" hidden="1" x14ac:dyDescent="0.25">
      <c r="A35">
        <v>304</v>
      </c>
      <c r="B35" t="s">
        <v>35</v>
      </c>
    </row>
    <row r="36" spans="1:2" hidden="1" x14ac:dyDescent="0.25">
      <c r="A36">
        <v>297</v>
      </c>
      <c r="B36" t="s">
        <v>36</v>
      </c>
    </row>
    <row r="37" spans="1:2" hidden="1" x14ac:dyDescent="0.25">
      <c r="A37">
        <v>281</v>
      </c>
      <c r="B37" t="s">
        <v>37</v>
      </c>
    </row>
    <row r="38" spans="1:2" hidden="1" x14ac:dyDescent="0.25">
      <c r="A38">
        <v>278</v>
      </c>
      <c r="B38" t="s">
        <v>38</v>
      </c>
    </row>
    <row r="39" spans="1:2" hidden="1" x14ac:dyDescent="0.25">
      <c r="A39">
        <v>268</v>
      </c>
      <c r="B39" t="s">
        <v>39</v>
      </c>
    </row>
    <row r="40" spans="1:2" hidden="1" x14ac:dyDescent="0.25">
      <c r="A40">
        <v>267</v>
      </c>
      <c r="B40" t="s">
        <v>40</v>
      </c>
    </row>
    <row r="41" spans="1:2" hidden="1" x14ac:dyDescent="0.25">
      <c r="A41">
        <v>264</v>
      </c>
      <c r="B41" t="s">
        <v>41</v>
      </c>
    </row>
    <row r="42" spans="1:2" hidden="1" x14ac:dyDescent="0.25">
      <c r="A42">
        <v>262</v>
      </c>
      <c r="B42" t="s">
        <v>42</v>
      </c>
    </row>
    <row r="43" spans="1:2" hidden="1" x14ac:dyDescent="0.25">
      <c r="A43">
        <v>238</v>
      </c>
      <c r="B43" t="s">
        <v>43</v>
      </c>
    </row>
    <row r="44" spans="1:2" hidden="1" x14ac:dyDescent="0.25">
      <c r="A44">
        <v>238</v>
      </c>
      <c r="B44" t="s">
        <v>44</v>
      </c>
    </row>
    <row r="45" spans="1:2" hidden="1" x14ac:dyDescent="0.25">
      <c r="A45">
        <v>212</v>
      </c>
      <c r="B45" t="s">
        <v>45</v>
      </c>
    </row>
    <row r="46" spans="1:2" hidden="1" x14ac:dyDescent="0.25">
      <c r="A46">
        <v>209</v>
      </c>
      <c r="B46" t="s">
        <v>46</v>
      </c>
    </row>
    <row r="47" spans="1:2" hidden="1" x14ac:dyDescent="0.25">
      <c r="A47">
        <v>203</v>
      </c>
      <c r="B47" t="s">
        <v>47</v>
      </c>
    </row>
    <row r="48" spans="1:2" hidden="1" x14ac:dyDescent="0.25">
      <c r="A48">
        <v>199</v>
      </c>
      <c r="B48" t="s">
        <v>48</v>
      </c>
    </row>
    <row r="49" spans="1:2" hidden="1" x14ac:dyDescent="0.25">
      <c r="A49">
        <v>194</v>
      </c>
      <c r="B49" t="s">
        <v>49</v>
      </c>
    </row>
    <row r="50" spans="1:2" hidden="1" x14ac:dyDescent="0.25">
      <c r="A50">
        <v>153</v>
      </c>
      <c r="B50" t="s">
        <v>50</v>
      </c>
    </row>
    <row r="51" spans="1:2" hidden="1" x14ac:dyDescent="0.25">
      <c r="A51">
        <v>132</v>
      </c>
      <c r="B51" t="s">
        <v>51</v>
      </c>
    </row>
    <row r="52" spans="1:2" hidden="1" x14ac:dyDescent="0.25">
      <c r="A52">
        <v>131</v>
      </c>
      <c r="B52" t="s">
        <v>52</v>
      </c>
    </row>
    <row r="53" spans="1:2" hidden="1" x14ac:dyDescent="0.25">
      <c r="A53">
        <v>109</v>
      </c>
      <c r="B53" t="s">
        <v>53</v>
      </c>
    </row>
    <row r="54" spans="1:2" hidden="1" x14ac:dyDescent="0.25">
      <c r="A54">
        <v>103</v>
      </c>
      <c r="B54" t="s">
        <v>54</v>
      </c>
    </row>
    <row r="55" spans="1:2" hidden="1" x14ac:dyDescent="0.25">
      <c r="A55">
        <v>83</v>
      </c>
      <c r="B55" t="s">
        <v>55</v>
      </c>
    </row>
    <row r="56" spans="1:2" hidden="1" x14ac:dyDescent="0.25">
      <c r="A56">
        <v>76</v>
      </c>
      <c r="B56" t="s">
        <v>56</v>
      </c>
    </row>
    <row r="57" spans="1:2" hidden="1" x14ac:dyDescent="0.25">
      <c r="A57">
        <v>72</v>
      </c>
      <c r="B57" t="s">
        <v>57</v>
      </c>
    </row>
    <row r="58" spans="1:2" hidden="1" x14ac:dyDescent="0.25">
      <c r="A58">
        <v>64</v>
      </c>
      <c r="B58" t="s">
        <v>58</v>
      </c>
    </row>
    <row r="59" spans="1:2" hidden="1" x14ac:dyDescent="0.25">
      <c r="A59">
        <v>60</v>
      </c>
      <c r="B59" t="s">
        <v>59</v>
      </c>
    </row>
    <row r="60" spans="1:2" hidden="1" x14ac:dyDescent="0.25">
      <c r="A60">
        <v>48</v>
      </c>
      <c r="B60" t="s">
        <v>60</v>
      </c>
    </row>
    <row r="61" spans="1:2" hidden="1" x14ac:dyDescent="0.25">
      <c r="A61">
        <v>43</v>
      </c>
      <c r="B61" t="s">
        <v>61</v>
      </c>
    </row>
    <row r="62" spans="1:2" hidden="1" x14ac:dyDescent="0.25">
      <c r="A62">
        <v>39</v>
      </c>
      <c r="B62" t="s">
        <v>62</v>
      </c>
    </row>
    <row r="63" spans="1:2" hidden="1" x14ac:dyDescent="0.25">
      <c r="A63">
        <v>38</v>
      </c>
      <c r="B63" t="s">
        <v>63</v>
      </c>
    </row>
    <row r="64" spans="1:2" hidden="1" x14ac:dyDescent="0.25">
      <c r="A64">
        <v>38</v>
      </c>
      <c r="B64" t="s">
        <v>64</v>
      </c>
    </row>
    <row r="65" spans="1:2" hidden="1" x14ac:dyDescent="0.25">
      <c r="A65">
        <v>33</v>
      </c>
      <c r="B65" t="s">
        <v>65</v>
      </c>
    </row>
    <row r="66" spans="1:2" hidden="1" x14ac:dyDescent="0.25">
      <c r="A66">
        <v>30</v>
      </c>
      <c r="B66" t="s">
        <v>66</v>
      </c>
    </row>
    <row r="67" spans="1:2" hidden="1" x14ac:dyDescent="0.25">
      <c r="A67">
        <v>30</v>
      </c>
      <c r="B67" t="s">
        <v>67</v>
      </c>
    </row>
    <row r="68" spans="1:2" hidden="1" x14ac:dyDescent="0.25">
      <c r="A68">
        <v>24</v>
      </c>
      <c r="B68" t="s">
        <v>68</v>
      </c>
    </row>
    <row r="69" spans="1:2" hidden="1" x14ac:dyDescent="0.25">
      <c r="A69">
        <v>14</v>
      </c>
      <c r="B69" t="s">
        <v>69</v>
      </c>
    </row>
    <row r="70" spans="1:2" hidden="1" x14ac:dyDescent="0.25">
      <c r="A70">
        <v>14</v>
      </c>
      <c r="B70" t="s">
        <v>70</v>
      </c>
    </row>
    <row r="71" spans="1:2" hidden="1" x14ac:dyDescent="0.25">
      <c r="A71">
        <v>8</v>
      </c>
      <c r="B71" t="s">
        <v>71</v>
      </c>
    </row>
    <row r="72" spans="1:2" hidden="1" x14ac:dyDescent="0.25">
      <c r="A72">
        <v>2</v>
      </c>
      <c r="B72" t="s">
        <v>72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2.28515625" bestFit="1" customWidth="1"/>
    <col min="2" max="2" width="9.140625" bestFit="1" customWidth="1"/>
  </cols>
  <sheetData>
    <row r="1" spans="1:2" x14ac:dyDescent="0.25">
      <c r="A1" s="4" t="s">
        <v>73</v>
      </c>
      <c r="B1" s="4" t="s">
        <v>74</v>
      </c>
    </row>
    <row r="2" spans="1:2" x14ac:dyDescent="0.25">
      <c r="A2" t="s">
        <v>75</v>
      </c>
      <c r="B2" s="3">
        <v>12.094085575687201</v>
      </c>
    </row>
    <row r="3" spans="1:2" x14ac:dyDescent="0.25">
      <c r="A3" t="s">
        <v>76</v>
      </c>
      <c r="B3">
        <v>10</v>
      </c>
    </row>
    <row r="4" spans="1:2" x14ac:dyDescent="0.25">
      <c r="A4" t="s">
        <v>77</v>
      </c>
      <c r="B4">
        <v>6</v>
      </c>
    </row>
    <row r="5" spans="1:2" x14ac:dyDescent="0.25">
      <c r="A5" t="s">
        <v>78</v>
      </c>
      <c r="B5">
        <v>15</v>
      </c>
    </row>
    <row r="6" spans="1:2" x14ac:dyDescent="0.25">
      <c r="A6" t="s">
        <v>79</v>
      </c>
      <c r="B6">
        <v>209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A23" sqref="A23"/>
    </sheetView>
  </sheetViews>
  <sheetFormatPr baseColWidth="10" defaultColWidth="9.140625" defaultRowHeight="15" x14ac:dyDescent="0.25"/>
  <cols>
    <col min="1" max="1" width="14.140625" bestFit="1" customWidth="1"/>
    <col min="2" max="2" width="21.5703125" bestFit="1" customWidth="1"/>
  </cols>
  <sheetData>
    <row r="1" spans="1:2" x14ac:dyDescent="0.25">
      <c r="A1" s="4" t="s">
        <v>80</v>
      </c>
      <c r="B1" s="4" t="s">
        <v>81</v>
      </c>
    </row>
    <row r="2" spans="1:2" x14ac:dyDescent="0.25">
      <c r="A2" t="s">
        <v>82</v>
      </c>
      <c r="B2">
        <v>800</v>
      </c>
    </row>
    <row r="3" spans="1:2" x14ac:dyDescent="0.25">
      <c r="A3" t="s">
        <v>83</v>
      </c>
      <c r="B3">
        <v>1780</v>
      </c>
    </row>
    <row r="4" spans="1:2" x14ac:dyDescent="0.25">
      <c r="A4" t="s">
        <v>84</v>
      </c>
      <c r="B4">
        <v>2682</v>
      </c>
    </row>
    <row r="5" spans="1:2" x14ac:dyDescent="0.25">
      <c r="A5" t="s">
        <v>85</v>
      </c>
      <c r="B5">
        <v>2404</v>
      </c>
    </row>
    <row r="6" spans="1:2" x14ac:dyDescent="0.25">
      <c r="A6" t="s">
        <v>86</v>
      </c>
      <c r="B6">
        <v>3700</v>
      </c>
    </row>
    <row r="7" spans="1:2" x14ac:dyDescent="0.25">
      <c r="A7" t="s">
        <v>87</v>
      </c>
      <c r="B7">
        <v>3245</v>
      </c>
    </row>
    <row r="8" spans="1:2" x14ac:dyDescent="0.25">
      <c r="A8" t="s">
        <v>88</v>
      </c>
      <c r="B8">
        <v>4026</v>
      </c>
    </row>
    <row r="9" spans="1:2" x14ac:dyDescent="0.25">
      <c r="A9" t="s">
        <v>89</v>
      </c>
      <c r="B9">
        <v>4331</v>
      </c>
    </row>
    <row r="10" spans="1:2" x14ac:dyDescent="0.25">
      <c r="A10" t="s">
        <v>90</v>
      </c>
      <c r="B10">
        <v>4285</v>
      </c>
    </row>
    <row r="11" spans="1:2" x14ac:dyDescent="0.25">
      <c r="A11" t="s">
        <v>91</v>
      </c>
      <c r="B11">
        <v>4631</v>
      </c>
    </row>
    <row r="12" spans="1:2" x14ac:dyDescent="0.25">
      <c r="A12" t="s">
        <v>92</v>
      </c>
      <c r="B12">
        <v>7544</v>
      </c>
    </row>
    <row r="13" spans="1:2" x14ac:dyDescent="0.25">
      <c r="A13" t="s">
        <v>93</v>
      </c>
      <c r="B13">
        <v>5673</v>
      </c>
    </row>
    <row r="14" spans="1:2" x14ac:dyDescent="0.25">
      <c r="A14" t="s">
        <v>94</v>
      </c>
      <c r="B14">
        <v>7269</v>
      </c>
    </row>
    <row r="15" spans="1:2" x14ac:dyDescent="0.25">
      <c r="A15" t="s">
        <v>95</v>
      </c>
      <c r="B15">
        <v>6728</v>
      </c>
    </row>
    <row r="16" spans="1:2" x14ac:dyDescent="0.25">
      <c r="A16" t="s">
        <v>96</v>
      </c>
      <c r="B16">
        <v>7211</v>
      </c>
    </row>
    <row r="17" spans="1:2" x14ac:dyDescent="0.25">
      <c r="A17" t="s">
        <v>97</v>
      </c>
      <c r="B17">
        <v>6939</v>
      </c>
    </row>
    <row r="18" spans="1:2" x14ac:dyDescent="0.25">
      <c r="A18" t="s">
        <v>98</v>
      </c>
      <c r="B18">
        <v>6873</v>
      </c>
    </row>
    <row r="19" spans="1:2" x14ac:dyDescent="0.25">
      <c r="A19" t="s">
        <v>99</v>
      </c>
      <c r="B19">
        <v>6167</v>
      </c>
    </row>
    <row r="20" spans="1:2" x14ac:dyDescent="0.25">
      <c r="A20" t="s">
        <v>100</v>
      </c>
      <c r="B20">
        <v>6292</v>
      </c>
    </row>
    <row r="21" spans="1:2" x14ac:dyDescent="0.25">
      <c r="A21" t="s">
        <v>101</v>
      </c>
      <c r="B21">
        <v>6512</v>
      </c>
    </row>
    <row r="22" spans="1:2" x14ac:dyDescent="0.25">
      <c r="A22" t="s">
        <v>133</v>
      </c>
      <c r="B22" s="7">
        <f>SUM(estacionalidad[cantidad_ordenes])</f>
        <v>99092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>
      <selection activeCell="A30" sqref="A30"/>
    </sheetView>
  </sheetViews>
  <sheetFormatPr baseColWidth="10" defaultColWidth="9.140625" defaultRowHeight="15" x14ac:dyDescent="0.25"/>
  <cols>
    <col min="1" max="1" width="11.5703125" bestFit="1" customWidth="1"/>
    <col min="2" max="2" width="17.85546875" style="6" bestFit="1" customWidth="1"/>
  </cols>
  <sheetData>
    <row r="1" spans="1:2" x14ac:dyDescent="0.25">
      <c r="A1" s="4" t="s">
        <v>102</v>
      </c>
      <c r="B1" s="5" t="s">
        <v>103</v>
      </c>
    </row>
    <row r="2" spans="1:2" x14ac:dyDescent="0.25">
      <c r="A2" t="s">
        <v>104</v>
      </c>
      <c r="B2" s="6">
        <v>5202955.0500014983</v>
      </c>
    </row>
    <row r="3" spans="1:2" x14ac:dyDescent="0.25">
      <c r="A3" t="s">
        <v>105</v>
      </c>
      <c r="B3" s="6">
        <v>1824092.6699998081</v>
      </c>
    </row>
    <row r="4" spans="1:2" x14ac:dyDescent="0.25">
      <c r="A4" t="s">
        <v>106</v>
      </c>
      <c r="B4" s="6">
        <v>1585308.0299998729</v>
      </c>
    </row>
    <row r="5" spans="1:2" x14ac:dyDescent="0.25">
      <c r="A5" t="s">
        <v>107</v>
      </c>
      <c r="B5" s="6">
        <v>750304.02000002307</v>
      </c>
    </row>
    <row r="6" spans="1:2" x14ac:dyDescent="0.25">
      <c r="A6" t="s">
        <v>108</v>
      </c>
      <c r="B6" s="6">
        <v>683083.76000002061</v>
      </c>
    </row>
    <row r="7" spans="1:2" x14ac:dyDescent="0.25">
      <c r="A7" t="s">
        <v>109</v>
      </c>
      <c r="B7" s="6">
        <v>520553.34000000742</v>
      </c>
    </row>
    <row r="8" spans="1:2" x14ac:dyDescent="0.25">
      <c r="A8" t="s">
        <v>110</v>
      </c>
      <c r="B8" s="6">
        <v>511349.99000000732</v>
      </c>
    </row>
    <row r="9" spans="1:2" x14ac:dyDescent="0.25">
      <c r="A9" t="s">
        <v>111</v>
      </c>
      <c r="B9" s="6">
        <v>302603.93999999779</v>
      </c>
    </row>
    <row r="10" spans="1:2" x14ac:dyDescent="0.25">
      <c r="A10" t="s">
        <v>112</v>
      </c>
      <c r="B10" s="6">
        <v>294591.94999999722</v>
      </c>
    </row>
    <row r="11" spans="1:2" x14ac:dyDescent="0.25">
      <c r="A11" t="s">
        <v>113</v>
      </c>
      <c r="B11" s="6">
        <v>275037.30999999627</v>
      </c>
    </row>
    <row r="12" spans="1:2" x14ac:dyDescent="0.25">
      <c r="A12" t="s">
        <v>114</v>
      </c>
      <c r="B12" s="6">
        <v>262788.02999999671</v>
      </c>
    </row>
    <row r="13" spans="1:2" x14ac:dyDescent="0.25">
      <c r="A13" t="s">
        <v>115</v>
      </c>
      <c r="B13" s="6">
        <v>227254.7099999972</v>
      </c>
    </row>
    <row r="14" spans="1:2" x14ac:dyDescent="0.25">
      <c r="A14" t="s">
        <v>116</v>
      </c>
      <c r="B14" s="6">
        <v>178947.8099999988</v>
      </c>
    </row>
    <row r="15" spans="1:2" x14ac:dyDescent="0.25">
      <c r="A15" t="s">
        <v>117</v>
      </c>
      <c r="B15" s="6">
        <v>156453.5299999991</v>
      </c>
    </row>
    <row r="16" spans="1:2" x14ac:dyDescent="0.25">
      <c r="A16" t="s">
        <v>118</v>
      </c>
      <c r="B16" s="6">
        <v>119648.2199999997</v>
      </c>
    </row>
    <row r="17" spans="1:2" x14ac:dyDescent="0.25">
      <c r="A17" t="s">
        <v>119</v>
      </c>
      <c r="B17" s="6">
        <v>116812.63999999969</v>
      </c>
    </row>
    <row r="18" spans="1:2" x14ac:dyDescent="0.25">
      <c r="A18" t="s">
        <v>120</v>
      </c>
      <c r="B18" s="6">
        <v>115268.0799999998</v>
      </c>
    </row>
    <row r="19" spans="1:2" x14ac:dyDescent="0.25">
      <c r="A19" t="s">
        <v>121</v>
      </c>
      <c r="B19" s="6">
        <v>86914.079999999987</v>
      </c>
    </row>
    <row r="20" spans="1:2" x14ac:dyDescent="0.25">
      <c r="A20" t="s">
        <v>122</v>
      </c>
      <c r="B20" s="6">
        <v>83034.98</v>
      </c>
    </row>
    <row r="21" spans="1:2" x14ac:dyDescent="0.25">
      <c r="A21" t="s">
        <v>123</v>
      </c>
      <c r="B21" s="6">
        <v>80314.810000000012</v>
      </c>
    </row>
    <row r="22" spans="1:2" x14ac:dyDescent="0.25">
      <c r="A22" t="s">
        <v>124</v>
      </c>
      <c r="B22" s="6">
        <v>58920.850000000093</v>
      </c>
    </row>
    <row r="23" spans="1:2" x14ac:dyDescent="0.25">
      <c r="A23" t="s">
        <v>125</v>
      </c>
      <c r="B23" s="6">
        <v>49621.740000000122</v>
      </c>
    </row>
    <row r="24" spans="1:2" x14ac:dyDescent="0.25">
      <c r="A24" t="s">
        <v>126</v>
      </c>
      <c r="B24" s="6">
        <v>46140.640000000072</v>
      </c>
    </row>
    <row r="25" spans="1:2" x14ac:dyDescent="0.25">
      <c r="A25" t="s">
        <v>127</v>
      </c>
      <c r="B25" s="6">
        <v>22356.840000000018</v>
      </c>
    </row>
    <row r="26" spans="1:2" x14ac:dyDescent="0.25">
      <c r="A26" t="s">
        <v>128</v>
      </c>
      <c r="B26" s="6">
        <v>15982.94999999999</v>
      </c>
    </row>
    <row r="27" spans="1:2" x14ac:dyDescent="0.25">
      <c r="A27" t="s">
        <v>129</v>
      </c>
      <c r="B27" s="6">
        <v>13474.3</v>
      </c>
    </row>
    <row r="28" spans="1:2" x14ac:dyDescent="0.25">
      <c r="A28" t="s">
        <v>130</v>
      </c>
      <c r="B28" s="6">
        <v>7829.4299999999976</v>
      </c>
    </row>
    <row r="29" spans="1:2" x14ac:dyDescent="0.25">
      <c r="A29" t="s">
        <v>133</v>
      </c>
      <c r="B29" s="8">
        <f>SUM(estados[ingresos])</f>
        <v>13591643.700001223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categorias</vt:lpstr>
      <vt:lpstr>entregas</vt:lpstr>
      <vt:lpstr>estacionalidad</vt:lpstr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 Dye</cp:lastModifiedBy>
  <dcterms:created xsi:type="dcterms:W3CDTF">2026-05-14T01:35:57Z</dcterms:created>
  <dcterms:modified xsi:type="dcterms:W3CDTF">2026-05-15T00:55:22Z</dcterms:modified>
</cp:coreProperties>
</file>